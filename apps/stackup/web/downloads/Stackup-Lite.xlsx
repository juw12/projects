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tart" sheetId="1" state="visible" r:id="rId1"/>
    <sheet name="Stack" sheetId="2" state="visible" r:id="rId2"/>
  </sheets>
  <definedNames>
    <definedName name="LSL">'Stack'!$C$6</definedName>
    <definedName name="USL">'Stack'!$C$7</definedName>
    <definedName name="TargetCpk">'Stack'!$C$8</definedName>
    <definedName name="GapMean">'Stack'!$S$6</definedName>
    <definedName name="GapSigma">'Stack'!$S$10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%"/>
  </numFmts>
  <fonts count="9">
    <font>
      <name val="Calibri"/>
      <family val="2"/>
      <color theme="1"/>
      <sz val="11"/>
      <scheme val="minor"/>
    </font>
    <font>
      <b val="1"/>
      <color rgb="000F172A"/>
      <sz val="16"/>
    </font>
    <font>
      <i val="1"/>
      <color rgb="0055627A"/>
      <sz val="9"/>
    </font>
    <font>
      <b val="1"/>
      <color rgb="000F172A"/>
      <sz val="12"/>
    </font>
    <font>
      <color rgb="000F172A"/>
    </font>
    <font>
      <b val="1"/>
      <color rgb="000F172A"/>
    </font>
    <font>
      <b val="1"/>
      <color rgb="00FFFFFF"/>
    </font>
    <font>
      <color rgb="0055627A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0B1220"/>
      </patternFill>
    </fill>
    <fill>
      <patternFill patternType="solid">
        <fgColor rgb="00EEF2F8"/>
      </patternFill>
    </fill>
    <fill>
      <patternFill patternType="solid">
        <fgColor rgb="00E8F4FD"/>
      </patternFill>
    </fill>
  </fills>
  <borders count="6">
    <border>
      <left/>
      <right/>
      <top/>
      <bottom/>
      <diagonal/>
    </border>
    <border>
      <left style="thin">
        <color rgb="00D6DCEB"/>
      </left>
      <right style="thin">
        <color rgb="00D6DCEB"/>
      </right>
      <top style="thin">
        <color rgb="00D6DCEB"/>
      </top>
      <bottom style="thin">
        <color rgb="00D6DCEB"/>
      </bottom>
    </border>
    <border>
      <left/>
      <right/>
      <top style="thin">
        <color rgb="00D6DCEB"/>
      </top>
      <bottom/>
      <diagonal/>
    </border>
    <border>
      <left/>
      <right style="thin">
        <color rgb="00D6DCEB"/>
      </right>
      <top style="thin">
        <color rgb="00D6DCEB"/>
      </top>
      <bottom/>
      <diagonal/>
    </border>
    <border>
      <left/>
      <right/>
      <top style="thin">
        <color rgb="00D6DCEB"/>
      </top>
      <bottom style="thin">
        <color rgb="00D6DCEB"/>
      </bottom>
      <diagonal/>
    </border>
    <border>
      <left/>
      <right style="thin">
        <color rgb="00D6DCEB"/>
      </right>
      <top style="thin">
        <color rgb="00D6DCEB"/>
      </top>
      <bottom style="thin">
        <color rgb="00D6DCEB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0" fillId="2" borderId="1" pivotButton="0" quotePrefix="0" xfId="0"/>
    <xf numFmtId="0" fontId="5" fillId="5" borderId="1" pivotButton="0" quotePrefix="0" xfId="0"/>
    <xf numFmtId="0" fontId="8" fillId="5" borderId="1" applyAlignment="1" pivotButton="0" quotePrefix="0" xfId="0">
      <alignment wrapText="1"/>
    </xf>
    <xf numFmtId="165" fontId="0" fillId="5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164" fontId="0" fillId="2" borderId="1" pivotButton="0" quotePrefix="0" xfId="0"/>
    <xf numFmtId="165" fontId="4" fillId="4" borderId="1" pivotButton="0" quotePrefix="0" xfId="0"/>
    <xf numFmtId="166" fontId="4" fillId="4" borderId="1" pivotButton="0" quotePrefix="0" xfId="0"/>
    <xf numFmtId="2" fontId="0" fillId="5" borderId="1" pivotButton="0" quotePrefix="0" xfId="0"/>
    <xf numFmtId="4" fontId="0" fillId="5" borderId="1" pivotButton="0" quotePrefix="0" xfId="0"/>
    <xf numFmtId="0" fontId="0" fillId="5" borderId="1" pivotButton="0" quotePrefix="0" xfId="0"/>
    <xf numFmtId="166" fontId="0" fillId="5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b val="1"/>
        <color rgb="009F1239"/>
      </font>
      <fill>
        <patternFill patternType="solid">
          <fgColor rgb="00FBD5DD"/>
        </patternFill>
      </fill>
    </dxf>
    <dxf>
      <font>
        <b val="1"/>
        <color rgb="0092400E"/>
      </font>
      <fill>
        <patternFill patternType="solid">
          <fgColor rgb="00FDECC8"/>
        </patternFill>
      </fill>
    </dxf>
    <dxf>
      <font>
        <b val="1"/>
        <color rgb="00166534"/>
      </font>
      <fill>
        <patternFill patternType="solid">
          <fgColor rgb="00D3F4DF"/>
        </patternFill>
      </fill>
    </dxf>
    <dxf>
      <font>
        <b val="1"/>
        <color rgb="00BE123C"/>
      </font>
    </dxf>
    <dxf>
      <font>
        <b val="1"/>
        <color rgb="0015803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Stackup Lite — tolerance stack-up workbook</t>
        </is>
      </c>
    </row>
    <row r="3">
      <c r="B3" s="2" t="inlineStr">
        <is>
          <t>Excel + Google Sheets · companion to the free web app: https://juwpegatron.github.io/projects/stackup/</t>
        </is>
      </c>
    </row>
    <row r="5">
      <c r="B5" s="3" t="inlineStr">
        <is>
          <t>How to use</t>
        </is>
      </c>
    </row>
    <row r="6">
      <c r="B6" s="4" t="inlineStr">
        <is>
          <t>1. Go to the Stack sheet. Yellow cells are inputs, grey cells are calculated — do not type over them.</t>
        </is>
      </c>
    </row>
    <row r="7">
      <c r="B7" s="4" t="inlineStr">
        <is>
          <t>2. Enter the stack name, units and the spec limits (LSL and/or USL) of the gap you care about. Leave a limit blank if the spec is one-sided.</t>
        </is>
      </c>
    </row>
    <row r="8">
      <c r="B8" s="4" t="inlineStr">
        <is>
          <t>3. List each dimension in the loop: nominal, plus tolerance, minus tolerance (both as positive numbers).</t>
        </is>
      </c>
    </row>
    <row r="9">
      <c r="B9" s="4" t="inlineStr">
        <is>
          <t>4. Sensitivity: +1 if the dimension opens the gap, −1 if it closes it, 0.5 for a diameter acting as a radius.</t>
        </is>
      </c>
    </row>
    <row r="10">
      <c r="B10" s="4" t="inlineStr">
        <is>
          <t>5. Distribution: Normal for capable molded / machined features (k = 3 means the tolerance is ±3σ, k = 4 means Cp 1.33), Uniform for flatness, float and clearance fits, Triangular for hand assembly.</t>
        </is>
      </c>
    </row>
    <row r="11">
      <c r="B11" s="4" t="inlineStr">
        <is>
          <t>6. Read the verdict: worst case, RSS (±3σ), Cpk and predicted ppm out of spec. The variance-share column shows which dimension to tighten first.</t>
        </is>
      </c>
    </row>
    <row r="12">
      <c r="B12" s="4" t="inlineStr"/>
    </row>
    <row r="13">
      <c r="B13" s="3" t="inlineStr">
        <is>
          <t>Google Sheets</t>
        </is>
      </c>
    </row>
    <row r="14">
      <c r="B14" s="4" t="inlineStr">
        <is>
          <t>Drive &gt; New &gt; File upload &gt; this .xlsx, then open it with Google Sheets (or File &gt; Import in an open sheet). All formulas use functions both apps support.</t>
        </is>
      </c>
    </row>
    <row r="15">
      <c r="B15" s="4" t="inlineStr"/>
    </row>
    <row r="16">
      <c r="B16" s="3" t="inlineStr">
        <is>
          <t>Method</t>
        </is>
      </c>
    </row>
    <row r="17">
      <c r="B17" s="4" t="inlineStr">
        <is>
          <t>Mean shift for asymmetric tolerances: mean = nominal + (tol+ − tol−)/2, half-band = (tol+ + tol−)/2.</t>
        </is>
      </c>
    </row>
    <row r="18">
      <c r="B18" s="4" t="inlineStr">
        <is>
          <t>Worst case = Σ a·mean ± Σ |a|·half. RSS σ = √Σ (a·σᵢ)² with σᵢ = half/k (normal), half/√3 (uniform), half/√6 (triangular).</t>
        </is>
      </c>
    </row>
    <row r="19">
      <c r="B19" s="4" t="inlineStr">
        <is>
          <t>Cpk = min(USL − mean, mean − LSL) / 3σ. Predicted ppm assumes the assembled gap is normal — non-normal inputs (uniform) usually make real tails lighter; use Monte Carlo to check.</t>
        </is>
      </c>
    </row>
    <row r="20">
      <c r="B20" s="4" t="inlineStr"/>
    </row>
    <row r="21">
      <c r="B21" s="3" t="inlineStr">
        <is>
          <t>Want more?</t>
        </is>
      </c>
    </row>
    <row r="22">
      <c r="B22" s="4" t="inlineStr">
        <is>
          <t>Stackup Pro adds Monte Carlo simulation with a histogram, a gasket compression checker, a DVT test tracker, an RCA / 8D issue log and a programme dashboard.</t>
        </is>
      </c>
    </row>
    <row r="23">
      <c r="B23" s="4" t="inlineStr">
        <is>
          <t>Details: https://juwpegatron.github.io/projects/stackup/#pro</t>
        </is>
      </c>
    </row>
    <row r="24">
      <c r="B24" s="4" t="inlineStr"/>
    </row>
    <row r="25">
      <c r="B25" s="3" t="inlineStr">
        <is>
          <t>Disclaimer &amp; licence</t>
        </is>
      </c>
    </row>
    <row r="26">
      <c r="B26" s="4" t="inlineStr">
        <is>
          <t>Engineering aid only — not a substitute for a reviewed tolerance analysis. Example values are illustrative, not from a real product.</t>
        </is>
      </c>
    </row>
    <row r="27">
      <c r="B27" s="4" t="inlineStr">
        <is>
          <t>Free to use for personal and commercial engineering work. Please do not resell or redistribute the template itself. © Juwen Lie.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31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1" customWidth="1" min="4" max="4"/>
    <col width="9" customWidth="1" min="5" max="5"/>
    <col width="9" customWidth="1" min="6" max="6"/>
    <col width="8" customWidth="1" min="7" max="7"/>
    <col width="13" customWidth="1" min="8" max="8"/>
    <col width="7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  <col width="11" customWidth="1" min="16" max="16"/>
    <col width="3" customWidth="1" min="17" max="17"/>
    <col width="30" customWidth="1" min="18" max="18"/>
    <col width="22" customWidth="1" min="19" max="19"/>
  </cols>
  <sheetData>
    <row r="1">
      <c r="A1" s="1" t="inlineStr">
        <is>
          <t>Tolerance stack-up</t>
        </is>
      </c>
    </row>
    <row r="2">
      <c r="A2" s="2" t="inlineStr">
        <is>
          <t>Stackup · yellow = input · grey = calculated · web app: https://juwpegatron.github.io/projects/stackup/</t>
        </is>
      </c>
    </row>
    <row r="3">
      <c r="R3" s="5" t="inlineStr">
        <is>
          <t>Results</t>
        </is>
      </c>
    </row>
    <row r="4" ht="32" customHeight="1">
      <c r="B4" s="6" t="inlineStr">
        <is>
          <t>Stack name</t>
        </is>
      </c>
      <c r="C4" s="7" t="inlineStr">
        <is>
          <t>IPX7 front-cover gasket compression (example)</t>
        </is>
      </c>
      <c r="D4" s="7" t="n"/>
      <c r="E4" s="7" t="n"/>
      <c r="F4" s="7" t="n"/>
      <c r="G4" s="7" t="n"/>
      <c r="H4" s="7" t="n"/>
      <c r="R4" s="8" t="inlineStr">
        <is>
          <t>Verdict</t>
        </is>
      </c>
      <c r="S4" s="9">
        <f>IF(AND(LSL="",USL=""),"No spec limits",IF(AND(OR(LSL="",S8&gt;=LSL),OR(USL="",S9&lt;=USL)),"PASS — worst case",IF(AND(S14&lt;&gt;"",S14&gt;=TargetCpk),"PASS (statistical) — WC exceeds spec","FAIL")))</f>
        <v/>
      </c>
    </row>
    <row r="5">
      <c r="B5" s="6" t="inlineStr">
        <is>
          <t>Units</t>
        </is>
      </c>
      <c r="C5" s="7" t="inlineStr">
        <is>
          <t>mm</t>
        </is>
      </c>
      <c r="R5" s="8" t="inlineStr">
        <is>
          <t>Nominal gap</t>
        </is>
      </c>
      <c r="S5" s="10">
        <f>SUMPRODUCT(G12:G31,D12:D31)</f>
        <v/>
      </c>
    </row>
    <row r="6">
      <c r="B6" s="6" t="inlineStr">
        <is>
          <t>Lower spec limit (LSL) — blank if none</t>
        </is>
      </c>
      <c r="C6" s="7" t="n">
        <v>0.35</v>
      </c>
      <c r="R6" s="8" t="inlineStr">
        <is>
          <t>Mean gap (incl. asymmetric tol.)</t>
        </is>
      </c>
      <c r="S6" s="10">
        <f>SUM(M12:M31)</f>
        <v/>
      </c>
    </row>
    <row r="7">
      <c r="B7" s="6" t="inlineStr">
        <is>
          <t>Upper spec limit (USL) — blank if none</t>
        </is>
      </c>
      <c r="C7" s="7" t="n">
        <v>0.65</v>
      </c>
      <c r="R7" s="8" t="inlineStr">
        <is>
          <t>Worst-case half band</t>
        </is>
      </c>
      <c r="S7" s="10">
        <f>SUM(N12:N31)</f>
        <v/>
      </c>
    </row>
    <row r="8">
      <c r="B8" s="6" t="inlineStr">
        <is>
          <t>Target Cpk</t>
        </is>
      </c>
      <c r="C8" s="7" t="n">
        <v>1.33</v>
      </c>
      <c r="R8" s="8" t="inlineStr">
        <is>
          <t>Worst case min</t>
        </is>
      </c>
      <c r="S8" s="10">
        <f>S6-S7</f>
        <v/>
      </c>
    </row>
    <row r="9">
      <c r="R9" s="8" t="inlineStr">
        <is>
          <t>Worst case max</t>
        </is>
      </c>
      <c r="S9" s="10">
        <f>S6+S7</f>
        <v/>
      </c>
    </row>
    <row r="10">
      <c r="B10" s="6" t="inlineStr">
        <is>
          <t>Inputs</t>
        </is>
      </c>
      <c r="J10" s="6" t="inlineStr">
        <is>
          <t>Calculated per row</t>
        </is>
      </c>
      <c r="R10" s="8" t="inlineStr">
        <is>
          <t>RSS σ</t>
        </is>
      </c>
      <c r="S10" s="10">
        <f>SQRT(SUM(O12:O31))</f>
        <v/>
      </c>
    </row>
    <row r="11" ht="30" customHeight="1">
      <c r="A11" s="11" t="inlineStr">
        <is>
          <t>#</t>
        </is>
      </c>
      <c r="B11" s="11" t="inlineStr">
        <is>
          <t>Dimension</t>
        </is>
      </c>
      <c r="C11" s="11" t="inlineStr">
        <is>
          <t>Part / source</t>
        </is>
      </c>
      <c r="D11" s="11" t="inlineStr">
        <is>
          <t>Nominal</t>
        </is>
      </c>
      <c r="E11" s="11" t="inlineStr">
        <is>
          <t>Tol +</t>
        </is>
      </c>
      <c r="F11" s="11" t="inlineStr">
        <is>
          <t>Tol −</t>
        </is>
      </c>
      <c r="G11" s="11" t="inlineStr">
        <is>
          <t>Sens.</t>
        </is>
      </c>
      <c r="H11" s="11" t="inlineStr">
        <is>
          <t>Distribution</t>
        </is>
      </c>
      <c r="I11" s="11" t="inlineStr">
        <is>
          <t>k</t>
        </is>
      </c>
      <c r="J11" s="11" t="inlineStr">
        <is>
          <t>Mean</t>
        </is>
      </c>
      <c r="K11" s="11" t="inlineStr">
        <is>
          <t>Half band</t>
        </is>
      </c>
      <c r="L11" s="11" t="inlineStr">
        <is>
          <t>σ</t>
        </is>
      </c>
      <c r="M11" s="11" t="inlineStr">
        <is>
          <t>a·mean</t>
        </is>
      </c>
      <c r="N11" s="11" t="inlineStr">
        <is>
          <t>|a|·half</t>
        </is>
      </c>
      <c r="O11" s="11" t="inlineStr">
        <is>
          <t>(a·σ)²</t>
        </is>
      </c>
      <c r="P11" s="11" t="inlineStr">
        <is>
          <t>Var. share</t>
        </is>
      </c>
      <c r="R11" s="8" t="inlineStr">
        <is>
          <t>RSS −3σ</t>
        </is>
      </c>
      <c r="S11" s="10">
        <f>S6-3*S10</f>
        <v/>
      </c>
    </row>
    <row r="12">
      <c r="A12" s="12" t="n">
        <v>1</v>
      </c>
      <c r="B12" s="7" t="inlineStr">
        <is>
          <t>Gasket free thickness</t>
        </is>
      </c>
      <c r="C12" s="7" t="inlineStr">
        <is>
          <t>Gasket</t>
        </is>
      </c>
      <c r="D12" s="13" t="n">
        <v>1.6</v>
      </c>
      <c r="E12" s="13" t="n">
        <v>0.08</v>
      </c>
      <c r="F12" s="13" t="n">
        <v>0.08</v>
      </c>
      <c r="G12" s="7" t="n">
        <v>1</v>
      </c>
      <c r="H12" s="7" t="inlineStr">
        <is>
          <t>Normal</t>
        </is>
      </c>
      <c r="I12" s="7" t="n">
        <v>3</v>
      </c>
      <c r="J12" s="14">
        <f>IF($B12="","",D12+(ABS(E12)-ABS(F12))/2)</f>
        <v/>
      </c>
      <c r="K12" s="14">
        <f>IF($B12="","",(ABS(E12)+ABS(F12))/2)</f>
        <v/>
      </c>
      <c r="L12" s="14">
        <f>IF($B12="","",IF(H12="Uniform",K12/SQRT(3),IF(H12="Triangular",K12/SQRT(6),K12/IF(I12&gt;0,I12,3))))</f>
        <v/>
      </c>
      <c r="M12" s="14">
        <f>IF($B12="","",G12*J12)</f>
        <v/>
      </c>
      <c r="N12" s="14">
        <f>IF($B12="","",ABS(G12)*K12)</f>
        <v/>
      </c>
      <c r="O12" s="14">
        <f>IF($B12="","",(G12*L12)^2)</f>
        <v/>
      </c>
      <c r="P12" s="15">
        <f>IF($B12="","",IF(SUM($O$12:$O$31)=0,0,O12/SUM($O$12:$O$31)))</f>
        <v/>
      </c>
      <c r="R12" s="8" t="inlineStr">
        <is>
          <t>RSS +3σ</t>
        </is>
      </c>
      <c r="S12" s="10">
        <f>S6+3*S10</f>
        <v/>
      </c>
    </row>
    <row r="13">
      <c r="A13" s="12" t="n">
        <v>2</v>
      </c>
      <c r="B13" s="7" t="inlineStr">
        <is>
          <t>Groove depth</t>
        </is>
      </c>
      <c r="C13" s="7" t="inlineStr">
        <is>
          <t>Housing</t>
        </is>
      </c>
      <c r="D13" s="13" t="n">
        <v>1.2</v>
      </c>
      <c r="E13" s="13" t="n">
        <v>0.05</v>
      </c>
      <c r="F13" s="13" t="n">
        <v>0.05</v>
      </c>
      <c r="G13" s="7" t="n">
        <v>-1</v>
      </c>
      <c r="H13" s="7" t="inlineStr">
        <is>
          <t>Normal</t>
        </is>
      </c>
      <c r="I13" s="7" t="n">
        <v>3</v>
      </c>
      <c r="J13" s="14">
        <f>IF($B13="","",D13+(ABS(E13)-ABS(F13))/2)</f>
        <v/>
      </c>
      <c r="K13" s="14">
        <f>IF($B13="","",(ABS(E13)+ABS(F13))/2)</f>
        <v/>
      </c>
      <c r="L13" s="14">
        <f>IF($B13="","",IF(H13="Uniform",K13/SQRT(3),IF(H13="Triangular",K13/SQRT(6),K13/IF(I13&gt;0,I13,3))))</f>
        <v/>
      </c>
      <c r="M13" s="14">
        <f>IF($B13="","",G13*J13)</f>
        <v/>
      </c>
      <c r="N13" s="14">
        <f>IF($B13="","",ABS(G13)*K13)</f>
        <v/>
      </c>
      <c r="O13" s="14">
        <f>IF($B13="","",(G13*L13)^2)</f>
        <v/>
      </c>
      <c r="P13" s="15">
        <f>IF($B13="","",IF(SUM($O$12:$O$31)=0,0,O13/SUM($O$12:$O$31)))</f>
        <v/>
      </c>
      <c r="R13" s="8" t="inlineStr">
        <is>
          <t>Cp</t>
        </is>
      </c>
      <c r="S13" s="16">
        <f>IF(OR(LSL="",USL="",S10=0),"",(USL-LSL)/(6*S10))</f>
        <v/>
      </c>
    </row>
    <row r="14">
      <c r="A14" s="12" t="n">
        <v>3</v>
      </c>
      <c r="B14" s="7" t="inlineStr">
        <is>
          <t>Compression rib height</t>
        </is>
      </c>
      <c r="C14" s="7" t="inlineStr">
        <is>
          <t>Front cover</t>
        </is>
      </c>
      <c r="D14" s="13" t="n">
        <v>0.3</v>
      </c>
      <c r="E14" s="13" t="n">
        <v>0.05</v>
      </c>
      <c r="F14" s="13" t="n">
        <v>0.05</v>
      </c>
      <c r="G14" s="7" t="n">
        <v>1</v>
      </c>
      <c r="H14" s="7" t="inlineStr">
        <is>
          <t>Normal</t>
        </is>
      </c>
      <c r="I14" s="7" t="n">
        <v>3</v>
      </c>
      <c r="J14" s="14">
        <f>IF($B14="","",D14+(ABS(E14)-ABS(F14))/2)</f>
        <v/>
      </c>
      <c r="K14" s="14">
        <f>IF($B14="","",(ABS(E14)+ABS(F14))/2)</f>
        <v/>
      </c>
      <c r="L14" s="14">
        <f>IF($B14="","",IF(H14="Uniform",K14/SQRT(3),IF(H14="Triangular",K14/SQRT(6),K14/IF(I14&gt;0,I14,3))))</f>
        <v/>
      </c>
      <c r="M14" s="14">
        <f>IF($B14="","",G14*J14)</f>
        <v/>
      </c>
      <c r="N14" s="14">
        <f>IF($B14="","",ABS(G14)*K14)</f>
        <v/>
      </c>
      <c r="O14" s="14">
        <f>IF($B14="","",(G14*L14)^2)</f>
        <v/>
      </c>
      <c r="P14" s="15">
        <f>IF($B14="","",IF(SUM($O$12:$O$31)=0,0,O14/SUM($O$12:$O$31)))</f>
        <v/>
      </c>
      <c r="R14" s="8" t="inlineStr">
        <is>
          <t>Cpk</t>
        </is>
      </c>
      <c r="S14" s="16">
        <f>IF(AND(LSL="",USL=""),"",IF(S10=0,"",MIN(IF(LSL="",9E+99,S6-LSL),IF(USL="",9E+99,USL-S6))/(3*S10)))</f>
        <v/>
      </c>
    </row>
    <row r="15">
      <c r="A15" s="12" t="n">
        <v>4</v>
      </c>
      <c r="B15" s="7" t="inlineStr">
        <is>
          <t>Cover stand-off at screw boss</t>
        </is>
      </c>
      <c r="C15" s="7" t="inlineStr">
        <is>
          <t>Front cover</t>
        </is>
      </c>
      <c r="D15" s="13" t="n">
        <v>0.2</v>
      </c>
      <c r="E15" s="13" t="n">
        <v>0.05</v>
      </c>
      <c r="F15" s="13" t="n">
        <v>0.05</v>
      </c>
      <c r="G15" s="7" t="n">
        <v>-1</v>
      </c>
      <c r="H15" s="7" t="inlineStr">
        <is>
          <t>Normal</t>
        </is>
      </c>
      <c r="I15" s="7" t="n">
        <v>3</v>
      </c>
      <c r="J15" s="14">
        <f>IF($B15="","",D15+(ABS(E15)-ABS(F15))/2)</f>
        <v/>
      </c>
      <c r="K15" s="14">
        <f>IF($B15="","",(ABS(E15)+ABS(F15))/2)</f>
        <v/>
      </c>
      <c r="L15" s="14">
        <f>IF($B15="","",IF(H15="Uniform",K15/SQRT(3),IF(H15="Triangular",K15/SQRT(6),K15/IF(I15&gt;0,I15,3))))</f>
        <v/>
      </c>
      <c r="M15" s="14">
        <f>IF($B15="","",G15*J15)</f>
        <v/>
      </c>
      <c r="N15" s="14">
        <f>IF($B15="","",ABS(G15)*K15)</f>
        <v/>
      </c>
      <c r="O15" s="14">
        <f>IF($B15="","",(G15*L15)^2)</f>
        <v/>
      </c>
      <c r="P15" s="15">
        <f>IF($B15="","",IF(SUM($O$12:$O$31)=0,0,O15/SUM($O$12:$O$31)))</f>
        <v/>
      </c>
      <c r="R15" s="8" t="inlineStr">
        <is>
          <t>Predicted out of spec (ppm, normal)</t>
        </is>
      </c>
      <c r="S15" s="17">
        <f>IF(OR(AND(LSL="",USL=""),S10=0),"",(IF(LSL="",0,NORMSDIST((LSL-S6)/S10))+IF(USL="",0,1-NORMSDIST((USL-S6)/S10)))*1000000)</f>
        <v/>
      </c>
    </row>
    <row r="16">
      <c r="A16" s="12" t="n">
        <v>5</v>
      </c>
      <c r="B16" s="7" t="inlineStr">
        <is>
          <t>Seal-face flatness</t>
        </is>
      </c>
      <c r="C16" s="7" t="inlineStr">
        <is>
          <t>Housing</t>
        </is>
      </c>
      <c r="D16" s="13" t="n">
        <v>0</v>
      </c>
      <c r="E16" s="13" t="n">
        <v>0.05</v>
      </c>
      <c r="F16" s="13" t="n">
        <v>0.05</v>
      </c>
      <c r="G16" s="7" t="n">
        <v>-1</v>
      </c>
      <c r="H16" s="7" t="inlineStr">
        <is>
          <t>Uniform</t>
        </is>
      </c>
      <c r="I16" s="7" t="n">
        <v>3</v>
      </c>
      <c r="J16" s="14">
        <f>IF($B16="","",D16+(ABS(E16)-ABS(F16))/2)</f>
        <v/>
      </c>
      <c r="K16" s="14">
        <f>IF($B16="","",(ABS(E16)+ABS(F16))/2)</f>
        <v/>
      </c>
      <c r="L16" s="14">
        <f>IF($B16="","",IF(H16="Uniform",K16/SQRT(3),IF(H16="Triangular",K16/SQRT(6),K16/IF(I16&gt;0,I16,3))))</f>
        <v/>
      </c>
      <c r="M16" s="14">
        <f>IF($B16="","",G16*J16)</f>
        <v/>
      </c>
      <c r="N16" s="14">
        <f>IF($B16="","",ABS(G16)*K16)</f>
        <v/>
      </c>
      <c r="O16" s="14">
        <f>IF($B16="","",(G16*L16)^2)</f>
        <v/>
      </c>
      <c r="P16" s="15">
        <f>IF($B16="","",IF(SUM($O$12:$O$31)=0,0,O16/SUM($O$12:$O$31)))</f>
        <v/>
      </c>
      <c r="R16" s="8" t="inlineStr">
        <is>
          <t>Biggest lever (largest variance share)</t>
        </is>
      </c>
      <c r="S16" s="18">
        <f>IF(SUM(O12:O31)=0,"",INDEX(B12:B31,MATCH(MAX(P12:P31),P12:P31,0)))</f>
        <v/>
      </c>
    </row>
    <row r="17">
      <c r="A17" s="12" t="n">
        <v>6</v>
      </c>
      <c r="B17" s="7" t="n"/>
      <c r="C17" s="7" t="n"/>
      <c r="D17" s="13" t="n"/>
      <c r="E17" s="13" t="n"/>
      <c r="F17" s="13" t="n"/>
      <c r="G17" s="7" t="n"/>
      <c r="H17" s="7" t="n"/>
      <c r="I17" s="7" t="n"/>
      <c r="J17" s="14">
        <f>IF($B17="","",D17+(ABS(E17)-ABS(F17))/2)</f>
        <v/>
      </c>
      <c r="K17" s="14">
        <f>IF($B17="","",(ABS(E17)+ABS(F17))/2)</f>
        <v/>
      </c>
      <c r="L17" s="14">
        <f>IF($B17="","",IF(H17="Uniform",K17/SQRT(3),IF(H17="Triangular",K17/SQRT(6),K17/IF(I17&gt;0,I17,3))))</f>
        <v/>
      </c>
      <c r="M17" s="14">
        <f>IF($B17="","",G17*J17)</f>
        <v/>
      </c>
      <c r="N17" s="14">
        <f>IF($B17="","",ABS(G17)*K17)</f>
        <v/>
      </c>
      <c r="O17" s="14">
        <f>IF($B17="","",(G17*L17)^2)</f>
        <v/>
      </c>
      <c r="P17" s="15">
        <f>IF($B17="","",IF(SUM($O$12:$O$31)=0,0,O17/SUM($O$12:$O$31)))</f>
        <v/>
      </c>
      <c r="R17" s="8" t="inlineStr">
        <is>
          <t>Its variance share</t>
        </is>
      </c>
      <c r="S17" s="19">
        <f>IF(SUM(O12:O31)=0,"",MAX(P12:P31))</f>
        <v/>
      </c>
    </row>
    <row r="18">
      <c r="A18" s="12" t="n">
        <v>7</v>
      </c>
      <c r="B18" s="7" t="n"/>
      <c r="C18" s="7" t="n"/>
      <c r="D18" s="13" t="n"/>
      <c r="E18" s="13" t="n"/>
      <c r="F18" s="13" t="n"/>
      <c r="G18" s="7" t="n"/>
      <c r="H18" s="7" t="n"/>
      <c r="I18" s="7" t="n"/>
      <c r="J18" s="14">
        <f>IF($B18="","",D18+(ABS(E18)-ABS(F18))/2)</f>
        <v/>
      </c>
      <c r="K18" s="14">
        <f>IF($B18="","",(ABS(E18)+ABS(F18))/2)</f>
        <v/>
      </c>
      <c r="L18" s="14">
        <f>IF($B18="","",IF(H18="Uniform",K18/SQRT(3),IF(H18="Triangular",K18/SQRT(6),K18/IF(I18&gt;0,I18,3))))</f>
        <v/>
      </c>
      <c r="M18" s="14">
        <f>IF($B18="","",G18*J18)</f>
        <v/>
      </c>
      <c r="N18" s="14">
        <f>IF($B18="","",ABS(G18)*K18)</f>
        <v/>
      </c>
      <c r="O18" s="14">
        <f>IF($B18="","",(G18*L18)^2)</f>
        <v/>
      </c>
      <c r="P18" s="15">
        <f>IF($B18="","",IF(SUM($O$12:$O$31)=0,0,O18/SUM($O$12:$O$31)))</f>
        <v/>
      </c>
    </row>
    <row r="19">
      <c r="A19" s="12" t="n">
        <v>8</v>
      </c>
      <c r="B19" s="7" t="n"/>
      <c r="C19" s="7" t="n"/>
      <c r="D19" s="13" t="n"/>
      <c r="E19" s="13" t="n"/>
      <c r="F19" s="13" t="n"/>
      <c r="G19" s="7" t="n"/>
      <c r="H19" s="7" t="n"/>
      <c r="I19" s="7" t="n"/>
      <c r="J19" s="14">
        <f>IF($B19="","",D19+(ABS(E19)-ABS(F19))/2)</f>
        <v/>
      </c>
      <c r="K19" s="14">
        <f>IF($B19="","",(ABS(E19)+ABS(F19))/2)</f>
        <v/>
      </c>
      <c r="L19" s="14">
        <f>IF($B19="","",IF(H19="Uniform",K19/SQRT(3),IF(H19="Triangular",K19/SQRT(6),K19/IF(I19&gt;0,I19,3))))</f>
        <v/>
      </c>
      <c r="M19" s="14">
        <f>IF($B19="","",G19*J19)</f>
        <v/>
      </c>
      <c r="N19" s="14">
        <f>IF($B19="","",ABS(G19)*K19)</f>
        <v/>
      </c>
      <c r="O19" s="14">
        <f>IF($B19="","",(G19*L19)^2)</f>
        <v/>
      </c>
      <c r="P19" s="15">
        <f>IF($B19="","",IF(SUM($O$12:$O$31)=0,0,O19/SUM($O$12:$O$31)))</f>
        <v/>
      </c>
      <c r="R19" s="20" t="inlineStr">
        <is>
          <t>Tip: tighten the biggest lever first — halving a contributor that owns 35% of the variance cuts σ far more than halving one that owns 5%.</t>
        </is>
      </c>
    </row>
    <row r="20">
      <c r="A20" s="12" t="n">
        <v>9</v>
      </c>
      <c r="B20" s="7" t="n"/>
      <c r="C20" s="7" t="n"/>
      <c r="D20" s="13" t="n"/>
      <c r="E20" s="13" t="n"/>
      <c r="F20" s="13" t="n"/>
      <c r="G20" s="7" t="n"/>
      <c r="H20" s="7" t="n"/>
      <c r="I20" s="7" t="n"/>
      <c r="J20" s="14">
        <f>IF($B20="","",D20+(ABS(E20)-ABS(F20))/2)</f>
        <v/>
      </c>
      <c r="K20" s="14">
        <f>IF($B20="","",(ABS(E20)+ABS(F20))/2)</f>
        <v/>
      </c>
      <c r="L20" s="14">
        <f>IF($B20="","",IF(H20="Uniform",K20/SQRT(3),IF(H20="Triangular",K20/SQRT(6),K20/IF(I20&gt;0,I20,3))))</f>
        <v/>
      </c>
      <c r="M20" s="14">
        <f>IF($B20="","",G20*J20)</f>
        <v/>
      </c>
      <c r="N20" s="14">
        <f>IF($B20="","",ABS(G20)*K20)</f>
        <v/>
      </c>
      <c r="O20" s="14">
        <f>IF($B20="","",(G20*L20)^2)</f>
        <v/>
      </c>
      <c r="P20" s="15">
        <f>IF($B20="","",IF(SUM($O$12:$O$31)=0,0,O20/SUM($O$12:$O$31)))</f>
        <v/>
      </c>
    </row>
    <row r="21">
      <c r="A21" s="12" t="n">
        <v>10</v>
      </c>
      <c r="B21" s="7" t="n"/>
      <c r="C21" s="7" t="n"/>
      <c r="D21" s="13" t="n"/>
      <c r="E21" s="13" t="n"/>
      <c r="F21" s="13" t="n"/>
      <c r="G21" s="7" t="n"/>
      <c r="H21" s="7" t="n"/>
      <c r="I21" s="7" t="n"/>
      <c r="J21" s="14">
        <f>IF($B21="","",D21+(ABS(E21)-ABS(F21))/2)</f>
        <v/>
      </c>
      <c r="K21" s="14">
        <f>IF($B21="","",(ABS(E21)+ABS(F21))/2)</f>
        <v/>
      </c>
      <c r="L21" s="14">
        <f>IF($B21="","",IF(H21="Uniform",K21/SQRT(3),IF(H21="Triangular",K21/SQRT(6),K21/IF(I21&gt;0,I21,3))))</f>
        <v/>
      </c>
      <c r="M21" s="14">
        <f>IF($B21="","",G21*J21)</f>
        <v/>
      </c>
      <c r="N21" s="14">
        <f>IF($B21="","",ABS(G21)*K21)</f>
        <v/>
      </c>
      <c r="O21" s="14">
        <f>IF($B21="","",(G21*L21)^2)</f>
        <v/>
      </c>
      <c r="P21" s="15">
        <f>IF($B21="","",IF(SUM($O$12:$O$31)=0,0,O21/SUM($O$12:$O$31)))</f>
        <v/>
      </c>
    </row>
    <row r="22">
      <c r="A22" s="12" t="n">
        <v>11</v>
      </c>
      <c r="B22" s="7" t="n"/>
      <c r="C22" s="7" t="n"/>
      <c r="D22" s="13" t="n"/>
      <c r="E22" s="13" t="n"/>
      <c r="F22" s="13" t="n"/>
      <c r="G22" s="7" t="n"/>
      <c r="H22" s="7" t="n"/>
      <c r="I22" s="7" t="n"/>
      <c r="J22" s="14">
        <f>IF($B22="","",D22+(ABS(E22)-ABS(F22))/2)</f>
        <v/>
      </c>
      <c r="K22" s="14">
        <f>IF($B22="","",(ABS(E22)+ABS(F22))/2)</f>
        <v/>
      </c>
      <c r="L22" s="14">
        <f>IF($B22="","",IF(H22="Uniform",K22/SQRT(3),IF(H22="Triangular",K22/SQRT(6),K22/IF(I22&gt;0,I22,3))))</f>
        <v/>
      </c>
      <c r="M22" s="14">
        <f>IF($B22="","",G22*J22)</f>
        <v/>
      </c>
      <c r="N22" s="14">
        <f>IF($B22="","",ABS(G22)*K22)</f>
        <v/>
      </c>
      <c r="O22" s="14">
        <f>IF($B22="","",(G22*L22)^2)</f>
        <v/>
      </c>
      <c r="P22" s="15">
        <f>IF($B22="","",IF(SUM($O$12:$O$31)=0,0,O22/SUM($O$12:$O$31)))</f>
        <v/>
      </c>
    </row>
    <row r="23">
      <c r="A23" s="12" t="n">
        <v>12</v>
      </c>
      <c r="B23" s="7" t="n"/>
      <c r="C23" s="7" t="n"/>
      <c r="D23" s="13" t="n"/>
      <c r="E23" s="13" t="n"/>
      <c r="F23" s="13" t="n"/>
      <c r="G23" s="7" t="n"/>
      <c r="H23" s="7" t="n"/>
      <c r="I23" s="7" t="n"/>
      <c r="J23" s="14">
        <f>IF($B23="","",D23+(ABS(E23)-ABS(F23))/2)</f>
        <v/>
      </c>
      <c r="K23" s="14">
        <f>IF($B23="","",(ABS(E23)+ABS(F23))/2)</f>
        <v/>
      </c>
      <c r="L23" s="14">
        <f>IF($B23="","",IF(H23="Uniform",K23/SQRT(3),IF(H23="Triangular",K23/SQRT(6),K23/IF(I23&gt;0,I23,3))))</f>
        <v/>
      </c>
      <c r="M23" s="14">
        <f>IF($B23="","",G23*J23)</f>
        <v/>
      </c>
      <c r="N23" s="14">
        <f>IF($B23="","",ABS(G23)*K23)</f>
        <v/>
      </c>
      <c r="O23" s="14">
        <f>IF($B23="","",(G23*L23)^2)</f>
        <v/>
      </c>
      <c r="P23" s="15">
        <f>IF($B23="","",IF(SUM($O$12:$O$31)=0,0,O23/SUM($O$12:$O$31)))</f>
        <v/>
      </c>
    </row>
    <row r="24">
      <c r="A24" s="12" t="n">
        <v>13</v>
      </c>
      <c r="B24" s="7" t="n"/>
      <c r="C24" s="7" t="n"/>
      <c r="D24" s="13" t="n"/>
      <c r="E24" s="13" t="n"/>
      <c r="F24" s="13" t="n"/>
      <c r="G24" s="7" t="n"/>
      <c r="H24" s="7" t="n"/>
      <c r="I24" s="7" t="n"/>
      <c r="J24" s="14">
        <f>IF($B24="","",D24+(ABS(E24)-ABS(F24))/2)</f>
        <v/>
      </c>
      <c r="K24" s="14">
        <f>IF($B24="","",(ABS(E24)+ABS(F24))/2)</f>
        <v/>
      </c>
      <c r="L24" s="14">
        <f>IF($B24="","",IF(H24="Uniform",K24/SQRT(3),IF(H24="Triangular",K24/SQRT(6),K24/IF(I24&gt;0,I24,3))))</f>
        <v/>
      </c>
      <c r="M24" s="14">
        <f>IF($B24="","",G24*J24)</f>
        <v/>
      </c>
      <c r="N24" s="14">
        <f>IF($B24="","",ABS(G24)*K24)</f>
        <v/>
      </c>
      <c r="O24" s="14">
        <f>IF($B24="","",(G24*L24)^2)</f>
        <v/>
      </c>
      <c r="P24" s="15">
        <f>IF($B24="","",IF(SUM($O$12:$O$31)=0,0,O24/SUM($O$12:$O$31)))</f>
        <v/>
      </c>
    </row>
    <row r="25">
      <c r="A25" s="12" t="n">
        <v>14</v>
      </c>
      <c r="B25" s="7" t="n"/>
      <c r="C25" s="7" t="n"/>
      <c r="D25" s="13" t="n"/>
      <c r="E25" s="13" t="n"/>
      <c r="F25" s="13" t="n"/>
      <c r="G25" s="7" t="n"/>
      <c r="H25" s="7" t="n"/>
      <c r="I25" s="7" t="n"/>
      <c r="J25" s="14">
        <f>IF($B25="","",D25+(ABS(E25)-ABS(F25))/2)</f>
        <v/>
      </c>
      <c r="K25" s="14">
        <f>IF($B25="","",(ABS(E25)+ABS(F25))/2)</f>
        <v/>
      </c>
      <c r="L25" s="14">
        <f>IF($B25="","",IF(H25="Uniform",K25/SQRT(3),IF(H25="Triangular",K25/SQRT(6),K25/IF(I25&gt;0,I25,3))))</f>
        <v/>
      </c>
      <c r="M25" s="14">
        <f>IF($B25="","",G25*J25)</f>
        <v/>
      </c>
      <c r="N25" s="14">
        <f>IF($B25="","",ABS(G25)*K25)</f>
        <v/>
      </c>
      <c r="O25" s="14">
        <f>IF($B25="","",(G25*L25)^2)</f>
        <v/>
      </c>
      <c r="P25" s="15">
        <f>IF($B25="","",IF(SUM($O$12:$O$31)=0,0,O25/SUM($O$12:$O$31)))</f>
        <v/>
      </c>
    </row>
    <row r="26">
      <c r="A26" s="12" t="n">
        <v>15</v>
      </c>
      <c r="B26" s="7" t="n"/>
      <c r="C26" s="7" t="n"/>
      <c r="D26" s="13" t="n"/>
      <c r="E26" s="13" t="n"/>
      <c r="F26" s="13" t="n"/>
      <c r="G26" s="7" t="n"/>
      <c r="H26" s="7" t="n"/>
      <c r="I26" s="7" t="n"/>
      <c r="J26" s="14">
        <f>IF($B26="","",D26+(ABS(E26)-ABS(F26))/2)</f>
        <v/>
      </c>
      <c r="K26" s="14">
        <f>IF($B26="","",(ABS(E26)+ABS(F26))/2)</f>
        <v/>
      </c>
      <c r="L26" s="14">
        <f>IF($B26="","",IF(H26="Uniform",K26/SQRT(3),IF(H26="Triangular",K26/SQRT(6),K26/IF(I26&gt;0,I26,3))))</f>
        <v/>
      </c>
      <c r="M26" s="14">
        <f>IF($B26="","",G26*J26)</f>
        <v/>
      </c>
      <c r="N26" s="14">
        <f>IF($B26="","",ABS(G26)*K26)</f>
        <v/>
      </c>
      <c r="O26" s="14">
        <f>IF($B26="","",(G26*L26)^2)</f>
        <v/>
      </c>
      <c r="P26" s="15">
        <f>IF($B26="","",IF(SUM($O$12:$O$31)=0,0,O26/SUM($O$12:$O$31)))</f>
        <v/>
      </c>
    </row>
    <row r="27">
      <c r="A27" s="12" t="n">
        <v>16</v>
      </c>
      <c r="B27" s="7" t="n"/>
      <c r="C27" s="7" t="n"/>
      <c r="D27" s="13" t="n"/>
      <c r="E27" s="13" t="n"/>
      <c r="F27" s="13" t="n"/>
      <c r="G27" s="7" t="n"/>
      <c r="H27" s="7" t="n"/>
      <c r="I27" s="7" t="n"/>
      <c r="J27" s="14">
        <f>IF($B27="","",D27+(ABS(E27)-ABS(F27))/2)</f>
        <v/>
      </c>
      <c r="K27" s="14">
        <f>IF($B27="","",(ABS(E27)+ABS(F27))/2)</f>
        <v/>
      </c>
      <c r="L27" s="14">
        <f>IF($B27="","",IF(H27="Uniform",K27/SQRT(3),IF(H27="Triangular",K27/SQRT(6),K27/IF(I27&gt;0,I27,3))))</f>
        <v/>
      </c>
      <c r="M27" s="14">
        <f>IF($B27="","",G27*J27)</f>
        <v/>
      </c>
      <c r="N27" s="14">
        <f>IF($B27="","",ABS(G27)*K27)</f>
        <v/>
      </c>
      <c r="O27" s="14">
        <f>IF($B27="","",(G27*L27)^2)</f>
        <v/>
      </c>
      <c r="P27" s="15">
        <f>IF($B27="","",IF(SUM($O$12:$O$31)=0,0,O27/SUM($O$12:$O$31)))</f>
        <v/>
      </c>
    </row>
    <row r="28">
      <c r="A28" s="12" t="n">
        <v>17</v>
      </c>
      <c r="B28" s="7" t="n"/>
      <c r="C28" s="7" t="n"/>
      <c r="D28" s="13" t="n"/>
      <c r="E28" s="13" t="n"/>
      <c r="F28" s="13" t="n"/>
      <c r="G28" s="7" t="n"/>
      <c r="H28" s="7" t="n"/>
      <c r="I28" s="7" t="n"/>
      <c r="J28" s="14">
        <f>IF($B28="","",D28+(ABS(E28)-ABS(F28))/2)</f>
        <v/>
      </c>
      <c r="K28" s="14">
        <f>IF($B28="","",(ABS(E28)+ABS(F28))/2)</f>
        <v/>
      </c>
      <c r="L28" s="14">
        <f>IF($B28="","",IF(H28="Uniform",K28/SQRT(3),IF(H28="Triangular",K28/SQRT(6),K28/IF(I28&gt;0,I28,3))))</f>
        <v/>
      </c>
      <c r="M28" s="14">
        <f>IF($B28="","",G28*J28)</f>
        <v/>
      </c>
      <c r="N28" s="14">
        <f>IF($B28="","",ABS(G28)*K28)</f>
        <v/>
      </c>
      <c r="O28" s="14">
        <f>IF($B28="","",(G28*L28)^2)</f>
        <v/>
      </c>
      <c r="P28" s="15">
        <f>IF($B28="","",IF(SUM($O$12:$O$31)=0,0,O28/SUM($O$12:$O$31)))</f>
        <v/>
      </c>
    </row>
    <row r="29">
      <c r="A29" s="12" t="n">
        <v>18</v>
      </c>
      <c r="B29" s="7" t="n"/>
      <c r="C29" s="7" t="n"/>
      <c r="D29" s="13" t="n"/>
      <c r="E29" s="13" t="n"/>
      <c r="F29" s="13" t="n"/>
      <c r="G29" s="7" t="n"/>
      <c r="H29" s="7" t="n"/>
      <c r="I29" s="7" t="n"/>
      <c r="J29" s="14">
        <f>IF($B29="","",D29+(ABS(E29)-ABS(F29))/2)</f>
        <v/>
      </c>
      <c r="K29" s="14">
        <f>IF($B29="","",(ABS(E29)+ABS(F29))/2)</f>
        <v/>
      </c>
      <c r="L29" s="14">
        <f>IF($B29="","",IF(H29="Uniform",K29/SQRT(3),IF(H29="Triangular",K29/SQRT(6),K29/IF(I29&gt;0,I29,3))))</f>
        <v/>
      </c>
      <c r="M29" s="14">
        <f>IF($B29="","",G29*J29)</f>
        <v/>
      </c>
      <c r="N29" s="14">
        <f>IF($B29="","",ABS(G29)*K29)</f>
        <v/>
      </c>
      <c r="O29" s="14">
        <f>IF($B29="","",(G29*L29)^2)</f>
        <v/>
      </c>
      <c r="P29" s="15">
        <f>IF($B29="","",IF(SUM($O$12:$O$31)=0,0,O29/SUM($O$12:$O$31)))</f>
        <v/>
      </c>
    </row>
    <row r="30">
      <c r="A30" s="12" t="n">
        <v>19</v>
      </c>
      <c r="B30" s="7" t="n"/>
      <c r="C30" s="7" t="n"/>
      <c r="D30" s="13" t="n"/>
      <c r="E30" s="13" t="n"/>
      <c r="F30" s="13" t="n"/>
      <c r="G30" s="7" t="n"/>
      <c r="H30" s="7" t="n"/>
      <c r="I30" s="7" t="n"/>
      <c r="J30" s="14">
        <f>IF($B30="","",D30+(ABS(E30)-ABS(F30))/2)</f>
        <v/>
      </c>
      <c r="K30" s="14">
        <f>IF($B30="","",(ABS(E30)+ABS(F30))/2)</f>
        <v/>
      </c>
      <c r="L30" s="14">
        <f>IF($B30="","",IF(H30="Uniform",K30/SQRT(3),IF(H30="Triangular",K30/SQRT(6),K30/IF(I30&gt;0,I30,3))))</f>
        <v/>
      </c>
      <c r="M30" s="14">
        <f>IF($B30="","",G30*J30)</f>
        <v/>
      </c>
      <c r="N30" s="14">
        <f>IF($B30="","",ABS(G30)*K30)</f>
        <v/>
      </c>
      <c r="O30" s="14">
        <f>IF($B30="","",(G30*L30)^2)</f>
        <v/>
      </c>
      <c r="P30" s="15">
        <f>IF($B30="","",IF(SUM($O$12:$O$31)=0,0,O30/SUM($O$12:$O$31)))</f>
        <v/>
      </c>
    </row>
    <row r="31">
      <c r="A31" s="12" t="n">
        <v>20</v>
      </c>
      <c r="B31" s="7" t="n"/>
      <c r="C31" s="7" t="n"/>
      <c r="D31" s="13" t="n"/>
      <c r="E31" s="13" t="n"/>
      <c r="F31" s="13" t="n"/>
      <c r="G31" s="7" t="n"/>
      <c r="H31" s="7" t="n"/>
      <c r="I31" s="7" t="n"/>
      <c r="J31" s="14">
        <f>IF($B31="","",D31+(ABS(E31)-ABS(F31))/2)</f>
        <v/>
      </c>
      <c r="K31" s="14">
        <f>IF($B31="","",(ABS(E31)+ABS(F31))/2)</f>
        <v/>
      </c>
      <c r="L31" s="14">
        <f>IF($B31="","",IF(H31="Uniform",K31/SQRT(3),IF(H31="Triangular",K31/SQRT(6),K31/IF(I31&gt;0,I31,3))))</f>
        <v/>
      </c>
      <c r="M31" s="14">
        <f>IF($B31="","",G31*J31)</f>
        <v/>
      </c>
      <c r="N31" s="14">
        <f>IF($B31="","",ABS(G31)*K31)</f>
        <v/>
      </c>
      <c r="O31" s="14">
        <f>IF($B31="","",(G31*L31)^2)</f>
        <v/>
      </c>
      <c r="P31" s="15">
        <f>IF($B31="","",IF(SUM($O$12:$O$31)=0,0,O31/SUM($O$12:$O$31)))</f>
        <v/>
      </c>
    </row>
  </sheetData>
  <mergeCells count="2">
    <mergeCell ref="C4:H4"/>
    <mergeCell ref="R19:S21"/>
  </mergeCells>
  <conditionalFormatting sqref="S4">
    <cfRule type="expression" priority="1" dxfId="0">
      <formula>LEFT($S$4,4)="FAIL"</formula>
    </cfRule>
    <cfRule type="expression" priority="2" dxfId="1">
      <formula>ISNUMBER(SEARCH("statistical",$S$4))</formula>
    </cfRule>
    <cfRule type="expression" priority="3" dxfId="2">
      <formula>LEFT($S$4,4)="PASS"</formula>
    </cfRule>
  </conditionalFormatting>
  <conditionalFormatting sqref="S14">
    <cfRule type="cellIs" priority="4" operator="lessThan" dxfId="3">
      <formula>TargetCpk</formula>
    </cfRule>
    <cfRule type="cellIs" priority="5" operator="greaterThanOrEqual" dxfId="4">
      <formula>TargetCpk</formula>
    </cfRule>
  </conditionalFormatting>
  <conditionalFormatting sqref="P12:P31">
    <cfRule type="colorScale" priority="6">
      <colorScale>
        <cfvo type="num" val="0"/>
        <cfvo type="num" val="0.5"/>
        <color rgb="00FFFFFF"/>
        <color rgb="007DD3FC"/>
      </colorScale>
    </cfRule>
  </conditionalFormatting>
  <dataValidations count="3">
    <dataValidation sqref="H12:H31" showDropDown="0" showInputMessage="0" showErrorMessage="0" allowBlank="1" error="Choose Normal, Uniform or Triangular" prompt="Normal: capable molded/machined. Uniform: flatness, float, clearance. Triangular: hand assembly." type="list">
      <formula1>"Normal,Uniform,Triangular"</formula1>
    </dataValidation>
    <dataValidation sqref="I12:I31" showDropDown="0" showInputMessage="0" showErrorMessage="0" allowBlank="1" prompt="Tolerance = k × σ. 3 → Cp 1.0, 4 → Cp 1.33" type="decimal" operator="between">
      <formula1>0.5</formula1>
      <formula2>10</formula2>
    </dataValidation>
    <dataValidation sqref="C5" showDropDown="0" showInputMessage="0" showErrorMessage="0" allowBlank="0" type="list">
      <formula1>"mm,in"</formula1>
    </dataValidation>
  </dataValidations>
  <printOptions gridLines="0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2026-10-25T16:01:54Z</dcterms:created>
  <dcterms:modified xsi:type="dcterms:W3CDTF">2026-10-25T16:01:54Z</dcterms:modified>
</cp:coreProperties>
</file>